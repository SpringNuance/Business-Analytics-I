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liesio\Dropbox (Aalto)\Business Decisions 1\2020\Lectures\"/>
    </mc:Choice>
  </mc:AlternateContent>
  <xr:revisionPtr revIDLastSave="0" documentId="13_ncr:1_{0181A6B2-78CE-4793-83B7-EB5441C5E2BE}" xr6:coauthVersionLast="45" xr6:coauthVersionMax="45" xr10:uidLastSave="{00000000-0000-0000-0000-000000000000}"/>
  <bookViews>
    <workbookView xWindow="22605" yWindow="1755" windowWidth="28575" windowHeight="17235" xr2:uid="{00000000-000D-0000-FFFF-FFFF00000000}"/>
  </bookViews>
  <sheets>
    <sheet name="Markowitz Weighted sum" sheetId="2" r:id="rId1"/>
  </sheets>
  <definedNames>
    <definedName name="solver_adj" localSheetId="0" hidden="1">'Markowitz Weighted sum'!$L$4:$L$9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'Markowitz Weighted sum'!$L$2</definedName>
    <definedName name="solver_lhs2" localSheetId="0" hidden="1">'Markowitz Weighted sum'!$L$11</definedName>
    <definedName name="solver_lhs3" localSheetId="0" hidden="1">'Markowitz Weighted sum'!$L$13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'Markowitz Weighted sum'!$R$13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el1" localSheetId="0" hidden="1">2</definedName>
    <definedName name="solver_rel2" localSheetId="0" hidden="1">3</definedName>
    <definedName name="solver_rel3" localSheetId="0" hidden="1">1</definedName>
    <definedName name="solver_rhs1" localSheetId="0" hidden="1">1</definedName>
    <definedName name="solver_rhs2" localSheetId="0" hidden="1">'Markowitz Weighted sum'!#REF!</definedName>
    <definedName name="solver_rhs3" localSheetId="0" hidden="1">'Markowitz Weighted sum'!#REF!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55" i="2" l="1"/>
  <c r="AA55" i="2"/>
  <c r="AB55" i="2"/>
  <c r="AC55" i="2"/>
  <c r="AD55" i="2"/>
  <c r="Z54" i="2"/>
  <c r="AA54" i="2"/>
  <c r="AB54" i="2"/>
  <c r="AC54" i="2"/>
  <c r="AD54" i="2"/>
  <c r="Y55" i="2"/>
  <c r="Y54" i="2"/>
  <c r="V4" i="2" l="1"/>
  <c r="V5" i="2"/>
  <c r="V6" i="2"/>
  <c r="V7" i="2"/>
  <c r="V3" i="2"/>
  <c r="D5" i="2" l="1"/>
  <c r="D6" i="2"/>
  <c r="D7" i="2"/>
  <c r="D8" i="2"/>
  <c r="D9" i="2"/>
  <c r="C5" i="2"/>
  <c r="C6" i="2"/>
  <c r="C7" i="2"/>
  <c r="C8" i="2"/>
  <c r="C9" i="2"/>
  <c r="D4" i="2"/>
  <c r="C4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J11" i="2"/>
  <c r="I11" i="2"/>
  <c r="H11" i="2"/>
  <c r="G11" i="2"/>
  <c r="F11" i="2"/>
  <c r="L2" i="2"/>
  <c r="L11" i="2" l="1"/>
  <c r="J13" i="2" l="1"/>
  <c r="F13" i="2"/>
  <c r="I13" i="2"/>
  <c r="G13" i="2"/>
  <c r="H13" i="2"/>
  <c r="L13" i="2" l="1"/>
  <c r="L14" i="2" s="1"/>
  <c r="R13" i="2" s="1"/>
</calcChain>
</file>

<file path=xl/sharedStrings.xml><?xml version="1.0" encoding="utf-8"?>
<sst xmlns="http://schemas.openxmlformats.org/spreadsheetml/2006/main" count="31" uniqueCount="25">
  <si>
    <t>Fund</t>
  </si>
  <si>
    <t>A</t>
  </si>
  <si>
    <t>B</t>
  </si>
  <si>
    <t>C</t>
  </si>
  <si>
    <t>D</t>
  </si>
  <si>
    <t>E</t>
  </si>
  <si>
    <t>F</t>
  </si>
  <si>
    <t>Scenario</t>
  </si>
  <si>
    <t>Squared deviation from mean mean return</t>
  </si>
  <si>
    <t>Mean return</t>
  </si>
  <si>
    <t>Variance of return</t>
  </si>
  <si>
    <t>Scenario-specific return</t>
  </si>
  <si>
    <t>St. Dev. of return</t>
  </si>
  <si>
    <t>Weights</t>
  </si>
  <si>
    <t>Weighted</t>
  </si>
  <si>
    <t>Sum</t>
  </si>
  <si>
    <t>w_1</t>
  </si>
  <si>
    <t>w_2</t>
  </si>
  <si>
    <t>Obj. Fun. Weights</t>
  </si>
  <si>
    <t>Opt. Obj. Fun. Values</t>
  </si>
  <si>
    <t>Optimal solution (decision var. values)</t>
  </si>
  <si>
    <t>E[R]</t>
  </si>
  <si>
    <t>Std. R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</si>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</sst>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 applyAlignment="1">
      <alignment vertical="center"/>
    </xf>
    <xf numFmtId="2" fontId="0" fillId="0" borderId="0" xfId="0" applyNumberFormat="1"/>
    <xf numFmtId="0" fontId="1" fillId="0" borderId="2" xfId="0" applyFont="1" applyBorder="1"/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horizontal="right"/>
    </xf>
    <xf numFmtId="2" fontId="0" fillId="3" borderId="9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0" xfId="0" applyBorder="1"/>
    <xf numFmtId="0" fontId="0" fillId="0" borderId="1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23" xfId="0" applyBorder="1"/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" xfId="0" applyNumberFormat="1" applyFont="1" applyBorder="1" applyAlignment="1">
      <alignment horizontal="center"/>
    </xf>
    <xf numFmtId="2" fontId="0" fillId="0" borderId="3" xfId="0" applyNumberFormat="1" applyFont="1" applyBorder="1" applyAlignment="1">
      <alignment horizontal="center"/>
    </xf>
    <xf numFmtId="2" fontId="0" fillId="0" borderId="4" xfId="0" applyNumberFormat="1" applyFont="1" applyBorder="1" applyAlignment="1">
      <alignment horizontal="center"/>
    </xf>
    <xf numFmtId="2" fontId="0" fillId="0" borderId="2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2" fontId="0" fillId="0" borderId="5" xfId="0" applyNumberFormat="1" applyFont="1" applyBorder="1" applyAlignment="1">
      <alignment horizontal="center"/>
    </xf>
    <xf numFmtId="2" fontId="0" fillId="0" borderId="21" xfId="0" applyNumberFormat="1" applyFont="1" applyBorder="1" applyAlignment="1">
      <alignment horizontal="center"/>
    </xf>
    <xf numFmtId="2" fontId="0" fillId="0" borderId="6" xfId="0" applyNumberFormat="1" applyFont="1" applyBorder="1" applyAlignment="1">
      <alignment horizontal="center"/>
    </xf>
    <xf numFmtId="2" fontId="0" fillId="0" borderId="7" xfId="0" applyNumberFormat="1" applyFont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2" fontId="0" fillId="4" borderId="13" xfId="0" applyNumberForma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13648293963255"/>
          <c:y val="3.7037037037037035E-2"/>
          <c:w val="0.76348862642169724"/>
          <c:h val="0.69827172645086033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'Markowitz Weighted sum'!$P$146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'Markowitz Weighted sum'!$W$3:$W$52</c:f>
              <c:numCache>
                <c:formatCode>0.00</c:formatCode>
                <c:ptCount val="50"/>
              </c:numCache>
            </c:numRef>
          </c:xVal>
          <c:yVal>
            <c:numRef>
              <c:f>'Markowitz Weighted sum'!$X$3:$X$52</c:f>
              <c:numCache>
                <c:formatCode>0.00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F9-4013-9BD8-E1F221654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242328"/>
        <c:axId val="244243504"/>
      </c:scatterChart>
      <c:valAx>
        <c:axId val="24424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Expected</a:t>
                </a:r>
                <a:r>
                  <a:rPr lang="en-US" sz="1800" baseline="0"/>
                  <a:t> return</a:t>
                </a:r>
                <a:endParaRPr lang="en-US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44243504"/>
        <c:crosses val="autoZero"/>
        <c:crossBetween val="midCat"/>
      </c:valAx>
      <c:valAx>
        <c:axId val="24424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Std.</a:t>
                </a:r>
                <a:r>
                  <a:rPr lang="en-US" sz="1600" baseline="0"/>
                  <a:t> Deviation of Return</a:t>
                </a:r>
                <a:endParaRPr lang="en-US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4424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14</xdr:row>
      <xdr:rowOff>109537</xdr:rowOff>
    </xdr:from>
    <xdr:to>
      <xdr:col>18</xdr:col>
      <xdr:colOff>628650</xdr:colOff>
      <xdr:row>28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504825</xdr:colOff>
          <xdr:row>2</xdr:row>
          <xdr:rowOff>85725</xdr:rowOff>
        </xdr:from>
        <xdr:to>
          <xdr:col>17</xdr:col>
          <xdr:colOff>104775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21A6DDC-663B-498E-9D37-A91613A1D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"RepeatedSolve"-macro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59"/>
  <sheetViews>
    <sheetView tabSelected="1" topLeftCell="D1" zoomScale="120" zoomScaleNormal="120" workbookViewId="0">
      <selection activeCell="W3" sqref="W3:AD52"/>
    </sheetView>
  </sheetViews>
  <sheetFormatPr defaultRowHeight="15"/>
  <cols>
    <col min="5" max="5" width="6.28515625" customWidth="1"/>
    <col min="10" max="10" width="10.28515625" customWidth="1"/>
    <col min="11" max="11" width="2.140625" customWidth="1"/>
    <col min="15" max="15" width="4" customWidth="1"/>
    <col min="17" max="17" width="1.7109375" customWidth="1"/>
    <col min="19" max="19" width="10.5703125" customWidth="1"/>
    <col min="20" max="20" width="4.140625" customWidth="1"/>
    <col min="23" max="23" width="9.140625" style="39"/>
    <col min="24" max="24" width="13.5703125" customWidth="1"/>
    <col min="25" max="30" width="5.7109375" customWidth="1"/>
  </cols>
  <sheetData>
    <row r="1" spans="1:30" ht="15.75" thickBot="1">
      <c r="T1" s="26"/>
      <c r="U1" s="57" t="s">
        <v>18</v>
      </c>
      <c r="V1" s="56"/>
      <c r="W1" s="57" t="s">
        <v>19</v>
      </c>
      <c r="X1" s="56"/>
      <c r="Y1" s="57" t="s">
        <v>20</v>
      </c>
      <c r="Z1" s="55"/>
      <c r="AA1" s="55"/>
      <c r="AB1" s="55"/>
      <c r="AC1" s="55"/>
      <c r="AD1" s="56"/>
    </row>
    <row r="2" spans="1:30" ht="15.75" thickBot="1">
      <c r="E2" s="3"/>
      <c r="F2" s="55" t="s">
        <v>7</v>
      </c>
      <c r="G2" s="55"/>
      <c r="H2" s="55"/>
      <c r="I2" s="55"/>
      <c r="J2" s="56"/>
      <c r="L2" s="13">
        <f>SUM(L4:L9)</f>
        <v>0.99999999999999978</v>
      </c>
      <c r="T2" s="30"/>
      <c r="U2" s="35" t="s">
        <v>16</v>
      </c>
      <c r="V2" s="37" t="s">
        <v>17</v>
      </c>
      <c r="W2" s="38" t="s">
        <v>21</v>
      </c>
      <c r="X2" s="36" t="s">
        <v>22</v>
      </c>
      <c r="Y2" s="35" t="s">
        <v>1</v>
      </c>
      <c r="Z2" s="37" t="s">
        <v>2</v>
      </c>
      <c r="AA2" s="37" t="s">
        <v>3</v>
      </c>
      <c r="AB2" s="37" t="s">
        <v>4</v>
      </c>
      <c r="AC2" s="37" t="s">
        <v>5</v>
      </c>
      <c r="AD2" s="36" t="s">
        <v>6</v>
      </c>
    </row>
    <row r="3" spans="1:30" ht="15.75" thickBot="1">
      <c r="E3" s="20" t="s">
        <v>0</v>
      </c>
      <c r="F3" s="21">
        <v>1</v>
      </c>
      <c r="G3" s="21">
        <v>2</v>
      </c>
      <c r="H3" s="21">
        <v>3</v>
      </c>
      <c r="I3" s="21">
        <v>4</v>
      </c>
      <c r="J3" s="22">
        <v>5</v>
      </c>
      <c r="T3" s="28">
        <v>1</v>
      </c>
      <c r="U3" s="40">
        <v>0.46</v>
      </c>
      <c r="V3" s="41">
        <f>1-U3</f>
        <v>0.54</v>
      </c>
      <c r="W3" s="31"/>
      <c r="X3" s="32"/>
      <c r="Y3" s="44"/>
      <c r="Z3" s="45"/>
      <c r="AA3" s="45"/>
      <c r="AB3" s="45"/>
      <c r="AC3" s="45"/>
      <c r="AD3" s="46"/>
    </row>
    <row r="4" spans="1:30">
      <c r="C4">
        <f>AVERAGE(F4:J4)</f>
        <v>12.027999999999999</v>
      </c>
      <c r="D4">
        <f>_xlfn.STDEV.P(F4:J4)</f>
        <v>21.332211699680837</v>
      </c>
      <c r="E4" s="23" t="s">
        <v>1</v>
      </c>
      <c r="F4" s="4">
        <v>10.06</v>
      </c>
      <c r="G4" s="4">
        <v>13.12</v>
      </c>
      <c r="H4" s="4">
        <v>13.47</v>
      </c>
      <c r="I4" s="4">
        <v>45.42</v>
      </c>
      <c r="J4" s="5">
        <v>-21.93</v>
      </c>
      <c r="K4" s="1"/>
      <c r="L4" s="17">
        <v>0</v>
      </c>
      <c r="T4" s="28">
        <v>2</v>
      </c>
      <c r="U4" s="42">
        <v>1</v>
      </c>
      <c r="V4" s="32">
        <f t="shared" ref="V4:V7" si="0">1-U4</f>
        <v>0</v>
      </c>
      <c r="W4" s="31"/>
      <c r="X4" s="32"/>
      <c r="Y4" s="47"/>
      <c r="Z4" s="48"/>
      <c r="AA4" s="48"/>
      <c r="AB4" s="48"/>
      <c r="AC4" s="48"/>
      <c r="AD4" s="49"/>
    </row>
    <row r="5" spans="1:30">
      <c r="C5">
        <f t="shared" ref="C5:C9" si="1">AVERAGE(F5:J5)</f>
        <v>6.8860000000000001</v>
      </c>
      <c r="D5">
        <f t="shared" ref="D5:D9" si="2">_xlfn.STDEV.P(F5:J5)</f>
        <v>6.2767144271505622</v>
      </c>
      <c r="E5" s="24" t="s">
        <v>2</v>
      </c>
      <c r="F5" s="4">
        <v>17.64</v>
      </c>
      <c r="G5" s="4">
        <v>3.25</v>
      </c>
      <c r="H5" s="4">
        <v>7.51</v>
      </c>
      <c r="I5" s="4">
        <v>-1.33</v>
      </c>
      <c r="J5" s="5">
        <v>7.36</v>
      </c>
      <c r="L5" s="18">
        <v>3.8503671709681067E-2</v>
      </c>
      <c r="T5" s="28">
        <v>3</v>
      </c>
      <c r="U5" s="42">
        <v>0</v>
      </c>
      <c r="V5" s="32">
        <f t="shared" si="0"/>
        <v>1</v>
      </c>
      <c r="W5" s="31"/>
      <c r="X5" s="32"/>
      <c r="Y5" s="47"/>
      <c r="Z5" s="48"/>
      <c r="AA5" s="48"/>
      <c r="AB5" s="48"/>
      <c r="AC5" s="48"/>
      <c r="AD5" s="49"/>
    </row>
    <row r="6" spans="1:30">
      <c r="C6">
        <f t="shared" si="1"/>
        <v>20.520000000000003</v>
      </c>
      <c r="D6">
        <f t="shared" si="2"/>
        <v>23.076558668917684</v>
      </c>
      <c r="E6" s="24" t="s">
        <v>3</v>
      </c>
      <c r="F6" s="4">
        <v>32.409999999999997</v>
      </c>
      <c r="G6" s="4">
        <v>18.71</v>
      </c>
      <c r="H6" s="4">
        <v>33.28</v>
      </c>
      <c r="I6" s="4">
        <v>41.46</v>
      </c>
      <c r="J6" s="5">
        <v>-23.26</v>
      </c>
      <c r="L6" s="18">
        <v>0.33575045294169092</v>
      </c>
      <c r="T6" s="28">
        <v>4</v>
      </c>
      <c r="U6" s="42">
        <v>0.9953683551370891</v>
      </c>
      <c r="V6" s="32">
        <f t="shared" si="0"/>
        <v>4.6316448629108997E-3</v>
      </c>
      <c r="W6" s="31"/>
      <c r="X6" s="32"/>
      <c r="Y6" s="47"/>
      <c r="Z6" s="48"/>
      <c r="AA6" s="48"/>
      <c r="AB6" s="48"/>
      <c r="AC6" s="48"/>
      <c r="AD6" s="49"/>
    </row>
    <row r="7" spans="1:30">
      <c r="C7">
        <f t="shared" si="1"/>
        <v>13.518000000000001</v>
      </c>
      <c r="D7">
        <f t="shared" si="2"/>
        <v>12.68168348445899</v>
      </c>
      <c r="E7" s="24" t="s">
        <v>4</v>
      </c>
      <c r="F7" s="4">
        <v>32.36</v>
      </c>
      <c r="G7" s="4">
        <v>20.61</v>
      </c>
      <c r="H7" s="4">
        <v>12.93</v>
      </c>
      <c r="I7" s="4">
        <v>7.06</v>
      </c>
      <c r="J7" s="5">
        <v>-5.37</v>
      </c>
      <c r="L7" s="18">
        <v>0</v>
      </c>
      <c r="T7" s="28">
        <v>5</v>
      </c>
      <c r="U7" s="42">
        <v>0.40534527773724016</v>
      </c>
      <c r="V7" s="32">
        <f t="shared" si="0"/>
        <v>0.59465472226275984</v>
      </c>
      <c r="W7" s="31"/>
      <c r="X7" s="32"/>
      <c r="Y7" s="47"/>
      <c r="Z7" s="48"/>
      <c r="AA7" s="48"/>
      <c r="AB7" s="48"/>
      <c r="AC7" s="48"/>
      <c r="AD7" s="49"/>
    </row>
    <row r="8" spans="1:30">
      <c r="C8">
        <f t="shared" si="1"/>
        <v>21.270000000000003</v>
      </c>
      <c r="D8">
        <f t="shared" si="2"/>
        <v>23.545931283344899</v>
      </c>
      <c r="E8" s="24" t="s">
        <v>5</v>
      </c>
      <c r="F8" s="4">
        <v>33.44</v>
      </c>
      <c r="G8" s="4">
        <v>19.399999999999999</v>
      </c>
      <c r="H8" s="4">
        <v>3.85</v>
      </c>
      <c r="I8" s="4">
        <v>58.68</v>
      </c>
      <c r="J8" s="5">
        <v>-9.02</v>
      </c>
      <c r="L8" s="18">
        <v>0</v>
      </c>
      <c r="T8" s="28">
        <v>6</v>
      </c>
      <c r="U8" s="42">
        <v>0.61355765896285697</v>
      </c>
      <c r="V8" s="32">
        <f t="shared" ref="V8:V52" si="3">1-U8</f>
        <v>0.38644234103714303</v>
      </c>
      <c r="W8" s="31"/>
      <c r="X8" s="32"/>
      <c r="Y8" s="47"/>
      <c r="Z8" s="48"/>
      <c r="AA8" s="48"/>
      <c r="AB8" s="48"/>
      <c r="AC8" s="48"/>
      <c r="AD8" s="49"/>
    </row>
    <row r="9" spans="1:30" ht="15.75" customHeight="1" thickBot="1">
      <c r="C9">
        <f t="shared" si="1"/>
        <v>13.183999999999997</v>
      </c>
      <c r="D9">
        <f t="shared" si="2"/>
        <v>12.241059758043829</v>
      </c>
      <c r="E9" s="25" t="s">
        <v>6</v>
      </c>
      <c r="F9" s="6">
        <v>24.56</v>
      </c>
      <c r="G9" s="6">
        <v>25.32</v>
      </c>
      <c r="H9" s="6">
        <v>-6.7</v>
      </c>
      <c r="I9" s="6">
        <v>5.43</v>
      </c>
      <c r="J9" s="7">
        <v>17.309999999999999</v>
      </c>
      <c r="L9" s="19">
        <v>0.6257458753486278</v>
      </c>
      <c r="R9" s="26"/>
      <c r="T9" s="28">
        <v>7</v>
      </c>
      <c r="U9" s="42">
        <v>0.38852507568210404</v>
      </c>
      <c r="V9" s="32">
        <f t="shared" si="3"/>
        <v>0.61147492431789596</v>
      </c>
      <c r="W9" s="31"/>
      <c r="X9" s="32"/>
      <c r="Y9" s="47"/>
      <c r="Z9" s="48"/>
      <c r="AA9" s="48"/>
      <c r="AB9" s="48"/>
      <c r="AC9" s="48"/>
      <c r="AD9" s="49"/>
    </row>
    <row r="10" spans="1:30" ht="15.75" thickBot="1">
      <c r="I10" s="1"/>
      <c r="P10" t="s">
        <v>13</v>
      </c>
      <c r="R10" s="26"/>
      <c r="T10" s="28">
        <v>8</v>
      </c>
      <c r="U10" s="42">
        <v>0.6983258124730064</v>
      </c>
      <c r="V10" s="32">
        <f t="shared" si="3"/>
        <v>0.3016741875269936</v>
      </c>
      <c r="W10" s="31"/>
      <c r="X10" s="32"/>
      <c r="Y10" s="47"/>
      <c r="Z10" s="48"/>
      <c r="AA10" s="48"/>
      <c r="AB10" s="48"/>
      <c r="AC10" s="48"/>
      <c r="AD10" s="49"/>
    </row>
    <row r="11" spans="1:30" ht="15.75" thickBot="1">
      <c r="C11" s="8"/>
      <c r="D11" s="9"/>
      <c r="E11" s="10" t="s">
        <v>11</v>
      </c>
      <c r="F11" s="11">
        <f>SUMPRODUCT(F4:F9,$L$4:$L$9)</f>
        <v>26.929195647361276</v>
      </c>
      <c r="G11" s="11">
        <f t="shared" ref="G11:J11" si="4">SUMPRODUCT(G4:G9,$L$4:$L$9)</f>
        <v>22.250913471422756</v>
      </c>
      <c r="H11" s="11">
        <f t="shared" si="4"/>
        <v>7.2704402836033717</v>
      </c>
      <c r="I11" s="11">
        <f t="shared" si="4"/>
        <v>17.266803998731678</v>
      </c>
      <c r="J11" s="12">
        <f t="shared" si="4"/>
        <v>3.3054925906442678</v>
      </c>
      <c r="K11" s="2"/>
      <c r="L11" s="53">
        <f>0.2*SUM(F11:J11)</f>
        <v>15.40456919835267</v>
      </c>
      <c r="M11" s="14" t="s">
        <v>9</v>
      </c>
      <c r="N11" s="15"/>
      <c r="P11" s="53">
        <v>0.46</v>
      </c>
      <c r="R11" s="16" t="s">
        <v>14</v>
      </c>
      <c r="T11" s="28">
        <v>9</v>
      </c>
      <c r="U11" s="42">
        <v>0.48209136870143765</v>
      </c>
      <c r="V11" s="32">
        <f t="shared" si="3"/>
        <v>0.51790863129856235</v>
      </c>
      <c r="W11" s="31"/>
      <c r="X11" s="32"/>
      <c r="Y11" s="47"/>
      <c r="Z11" s="48"/>
      <c r="AA11" s="48"/>
      <c r="AB11" s="48"/>
      <c r="AC11" s="48"/>
      <c r="AD11" s="49"/>
    </row>
    <row r="12" spans="1:30" ht="15.75" thickBot="1">
      <c r="F12" s="2"/>
      <c r="G12" s="2"/>
      <c r="H12" s="2"/>
      <c r="I12" s="2"/>
      <c r="J12" s="2"/>
      <c r="K12" s="2"/>
      <c r="L12" s="2"/>
      <c r="R12" s="27" t="s">
        <v>15</v>
      </c>
      <c r="T12" s="28">
        <v>10</v>
      </c>
      <c r="U12" s="42">
        <v>0.21250591490053961</v>
      </c>
      <c r="V12" s="32">
        <f t="shared" si="3"/>
        <v>0.78749408509946039</v>
      </c>
      <c r="W12" s="31"/>
      <c r="X12" s="32"/>
      <c r="Y12" s="47"/>
      <c r="Z12" s="48"/>
      <c r="AA12" s="48"/>
      <c r="AB12" s="48"/>
      <c r="AC12" s="48"/>
      <c r="AD12" s="49"/>
    </row>
    <row r="13" spans="1:30" ht="15.75" thickBot="1">
      <c r="A13" s="8"/>
      <c r="B13" s="9"/>
      <c r="C13" s="9"/>
      <c r="D13" s="9"/>
      <c r="E13" s="10" t="s">
        <v>8</v>
      </c>
      <c r="F13" s="11">
        <f>(F11-$L$11)^2</f>
        <v>132.8170147891887</v>
      </c>
      <c r="G13" s="11">
        <f t="shared" ref="G13:J13" si="5">(G11-$L$11)^2</f>
        <v>46.872429905399564</v>
      </c>
      <c r="H13" s="11">
        <f t="shared" si="5"/>
        <v>66.164053201760581</v>
      </c>
      <c r="I13" s="11">
        <f t="shared" si="5"/>
        <v>3.4679184517426451</v>
      </c>
      <c r="J13" s="12">
        <f t="shared" si="5"/>
        <v>146.38765475919664</v>
      </c>
      <c r="K13" s="2"/>
      <c r="L13" s="53">
        <f>0.2*SUM(F13:J13)</f>
        <v>79.141814221457636</v>
      </c>
      <c r="M13" s="9" t="s">
        <v>10</v>
      </c>
      <c r="N13" s="15"/>
      <c r="R13" s="54">
        <f>P11*L11-P14*L14</f>
        <v>2.2821708339258588</v>
      </c>
      <c r="T13" s="28">
        <v>11</v>
      </c>
      <c r="U13" s="42">
        <v>0.57658104693391576</v>
      </c>
      <c r="V13" s="32">
        <f t="shared" si="3"/>
        <v>0.42341895306608424</v>
      </c>
      <c r="W13" s="31"/>
      <c r="X13" s="32"/>
      <c r="Y13" s="47"/>
      <c r="Z13" s="48"/>
      <c r="AA13" s="48"/>
      <c r="AB13" s="48"/>
      <c r="AC13" s="48"/>
      <c r="AD13" s="49"/>
    </row>
    <row r="14" spans="1:30" ht="15.75" customHeight="1" thickBot="1">
      <c r="L14" s="53">
        <f>SQRT(L13)</f>
        <v>8.8961685135488313</v>
      </c>
      <c r="M14" s="9" t="s">
        <v>12</v>
      </c>
      <c r="N14" s="15"/>
      <c r="P14" s="53">
        <v>0.54</v>
      </c>
      <c r="R14" s="26"/>
      <c r="T14" s="28">
        <v>12</v>
      </c>
      <c r="U14" s="42">
        <v>0.24179045411731115</v>
      </c>
      <c r="V14" s="32">
        <f t="shared" si="3"/>
        <v>0.75820954588268885</v>
      </c>
      <c r="W14" s="31"/>
      <c r="X14" s="32"/>
      <c r="Y14" s="47"/>
      <c r="Z14" s="48"/>
      <c r="AA14" s="48"/>
      <c r="AB14" s="48"/>
      <c r="AC14" s="48"/>
      <c r="AD14" s="49"/>
    </row>
    <row r="15" spans="1:30">
      <c r="I15" s="1"/>
      <c r="R15" s="26"/>
      <c r="T15" s="28">
        <v>13</v>
      </c>
      <c r="U15" s="42">
        <v>0.27451783723906731</v>
      </c>
      <c r="V15" s="32">
        <f t="shared" si="3"/>
        <v>0.72548216276093269</v>
      </c>
      <c r="W15" s="31"/>
      <c r="X15" s="32"/>
      <c r="Y15" s="47"/>
      <c r="Z15" s="48"/>
      <c r="AA15" s="48"/>
      <c r="AB15" s="48"/>
      <c r="AC15" s="48"/>
      <c r="AD15" s="49"/>
    </row>
    <row r="16" spans="1:30">
      <c r="I16" s="1"/>
      <c r="R16" s="26"/>
      <c r="T16" s="28">
        <v>14</v>
      </c>
      <c r="U16" s="42">
        <v>0.36425662592992469</v>
      </c>
      <c r="V16" s="32">
        <f t="shared" si="3"/>
        <v>0.63574337407007531</v>
      </c>
      <c r="W16" s="31"/>
      <c r="X16" s="32"/>
      <c r="Y16" s="47"/>
      <c r="Z16" s="48"/>
      <c r="AA16" s="48"/>
      <c r="AB16" s="48"/>
      <c r="AC16" s="48"/>
      <c r="AD16" s="49"/>
    </row>
    <row r="17" spans="9:30">
      <c r="I17" s="1"/>
      <c r="R17" s="26"/>
      <c r="T17" s="28">
        <v>15</v>
      </c>
      <c r="U17" s="42">
        <v>0.90381140078248123</v>
      </c>
      <c r="V17" s="32">
        <f t="shared" si="3"/>
        <v>9.6188599217518767E-2</v>
      </c>
      <c r="W17" s="31"/>
      <c r="X17" s="32"/>
      <c r="Y17" s="47"/>
      <c r="Z17" s="48"/>
      <c r="AA17" s="48"/>
      <c r="AB17" s="48"/>
      <c r="AC17" s="48"/>
      <c r="AD17" s="49"/>
    </row>
    <row r="18" spans="9:30">
      <c r="I18" s="1"/>
      <c r="R18" s="26"/>
      <c r="T18" s="28">
        <v>16</v>
      </c>
      <c r="U18" s="42">
        <v>1.7652678438593861E-2</v>
      </c>
      <c r="V18" s="32">
        <f t="shared" si="3"/>
        <v>0.98234732156140614</v>
      </c>
      <c r="W18" s="31"/>
      <c r="X18" s="32"/>
      <c r="Y18" s="47"/>
      <c r="Z18" s="48"/>
      <c r="AA18" s="48"/>
      <c r="AB18" s="48"/>
      <c r="AC18" s="48"/>
      <c r="AD18" s="49"/>
    </row>
    <row r="19" spans="9:30">
      <c r="I19" s="1">
        <v>0</v>
      </c>
      <c r="T19" s="28">
        <v>17</v>
      </c>
      <c r="U19" s="42">
        <v>2.1969157808502948E-2</v>
      </c>
      <c r="V19" s="32">
        <f t="shared" si="3"/>
        <v>0.97803084219149705</v>
      </c>
      <c r="W19" s="31"/>
      <c r="X19" s="32"/>
      <c r="Y19" s="47"/>
      <c r="Z19" s="48"/>
      <c r="AA19" s="48"/>
      <c r="AB19" s="48"/>
      <c r="AC19" s="48"/>
      <c r="AD19" s="49"/>
    </row>
    <row r="20" spans="9:30">
      <c r="I20" s="1"/>
      <c r="T20" s="28">
        <v>18</v>
      </c>
      <c r="U20" s="42">
        <v>0.17508736577494743</v>
      </c>
      <c r="V20" s="32">
        <f t="shared" si="3"/>
        <v>0.82491263422505257</v>
      </c>
      <c r="W20" s="31"/>
      <c r="X20" s="32"/>
      <c r="Y20" s="47"/>
      <c r="Z20" s="48"/>
      <c r="AA20" s="48"/>
      <c r="AB20" s="48"/>
      <c r="AC20" s="48"/>
      <c r="AD20" s="49"/>
    </row>
    <row r="21" spans="9:30">
      <c r="I21" s="1"/>
      <c r="T21" s="28">
        <v>19</v>
      </c>
      <c r="U21" s="42">
        <v>0.66946548638081371</v>
      </c>
      <c r="V21" s="32">
        <f t="shared" si="3"/>
        <v>0.33053451361918629</v>
      </c>
      <c r="W21" s="31"/>
      <c r="X21" s="32"/>
      <c r="Y21" s="47"/>
      <c r="Z21" s="48"/>
      <c r="AA21" s="48"/>
      <c r="AB21" s="48"/>
      <c r="AC21" s="48"/>
      <c r="AD21" s="49"/>
    </row>
    <row r="22" spans="9:30">
      <c r="I22" s="1"/>
      <c r="T22" s="28">
        <v>20</v>
      </c>
      <c r="U22" s="42">
        <v>0.7175459269174983</v>
      </c>
      <c r="V22" s="32">
        <f t="shared" si="3"/>
        <v>0.2824540730825017</v>
      </c>
      <c r="W22" s="31"/>
      <c r="X22" s="32"/>
      <c r="Y22" s="47"/>
      <c r="Z22" s="48"/>
      <c r="AA22" s="48"/>
      <c r="AB22" s="48"/>
      <c r="AC22" s="48"/>
      <c r="AD22" s="49"/>
    </row>
    <row r="23" spans="9:30">
      <c r="I23" s="1"/>
      <c r="T23" s="28">
        <v>21</v>
      </c>
      <c r="U23" s="42">
        <v>0.12528192668614591</v>
      </c>
      <c r="V23" s="32">
        <f t="shared" si="3"/>
        <v>0.87471807331385409</v>
      </c>
      <c r="W23" s="31"/>
      <c r="X23" s="32"/>
      <c r="Y23" s="47"/>
      <c r="Z23" s="48"/>
      <c r="AA23" s="48"/>
      <c r="AB23" s="48"/>
      <c r="AC23" s="48"/>
      <c r="AD23" s="49"/>
    </row>
    <row r="24" spans="9:30">
      <c r="I24" s="1"/>
      <c r="T24" s="28">
        <v>22</v>
      </c>
      <c r="U24" s="42">
        <v>0.24150029524224381</v>
      </c>
      <c r="V24" s="32">
        <f t="shared" si="3"/>
        <v>0.75849970475775619</v>
      </c>
      <c r="W24" s="31"/>
      <c r="X24" s="32"/>
      <c r="Y24" s="47"/>
      <c r="Z24" s="48"/>
      <c r="AA24" s="48"/>
      <c r="AB24" s="48"/>
      <c r="AC24" s="48"/>
      <c r="AD24" s="49"/>
    </row>
    <row r="25" spans="9:30">
      <c r="I25" s="1"/>
      <c r="T25" s="28">
        <v>23</v>
      </c>
      <c r="U25" s="42">
        <v>0.67678043474522043</v>
      </c>
      <c r="V25" s="32">
        <f t="shared" si="3"/>
        <v>0.32321956525477957</v>
      </c>
      <c r="W25" s="31"/>
      <c r="X25" s="32"/>
      <c r="Y25" s="47"/>
      <c r="Z25" s="48"/>
      <c r="AA25" s="48"/>
      <c r="AB25" s="48"/>
      <c r="AC25" s="48"/>
      <c r="AD25" s="49"/>
    </row>
    <row r="26" spans="9:30">
      <c r="I26" s="1"/>
      <c r="T26" s="28">
        <v>24</v>
      </c>
      <c r="U26" s="42">
        <v>0.69034347942987939</v>
      </c>
      <c r="V26" s="32">
        <f t="shared" si="3"/>
        <v>0.30965652057012061</v>
      </c>
      <c r="W26" s="31"/>
      <c r="X26" s="32"/>
      <c r="Y26" s="47"/>
      <c r="Z26" s="48"/>
      <c r="AA26" s="48"/>
      <c r="AB26" s="48"/>
      <c r="AC26" s="48"/>
      <c r="AD26" s="49"/>
    </row>
    <row r="27" spans="9:30">
      <c r="I27" s="1"/>
      <c r="T27" s="28">
        <v>25</v>
      </c>
      <c r="U27" s="42">
        <v>0.10088306569176431</v>
      </c>
      <c r="V27" s="32">
        <f t="shared" si="3"/>
        <v>0.89911693430823569</v>
      </c>
      <c r="W27" s="31"/>
      <c r="X27" s="32"/>
      <c r="Y27" s="47"/>
      <c r="Z27" s="48"/>
      <c r="AA27" s="48"/>
      <c r="AB27" s="48"/>
      <c r="AC27" s="48"/>
      <c r="AD27" s="49"/>
    </row>
    <row r="28" spans="9:30">
      <c r="I28" s="1"/>
      <c r="T28" s="28">
        <v>26</v>
      </c>
      <c r="U28" s="42">
        <v>0.71120186840587973</v>
      </c>
      <c r="V28" s="32">
        <f t="shared" si="3"/>
        <v>0.28879813159412027</v>
      </c>
      <c r="W28" s="31"/>
      <c r="X28" s="32"/>
      <c r="Y28" s="47"/>
      <c r="Z28" s="48"/>
      <c r="AA28" s="48"/>
      <c r="AB28" s="48"/>
      <c r="AC28" s="48"/>
      <c r="AD28" s="49"/>
    </row>
    <row r="29" spans="9:30">
      <c r="I29" s="1"/>
      <c r="T29" s="28">
        <v>27</v>
      </c>
      <c r="U29" s="42">
        <v>0.10070921588702453</v>
      </c>
      <c r="V29" s="32">
        <f t="shared" si="3"/>
        <v>0.89929078411297547</v>
      </c>
      <c r="W29" s="31"/>
      <c r="X29" s="32"/>
      <c r="Y29" s="47"/>
      <c r="Z29" s="48"/>
      <c r="AA29" s="48"/>
      <c r="AB29" s="48"/>
      <c r="AC29" s="48"/>
      <c r="AD29" s="49"/>
    </row>
    <row r="30" spans="9:30">
      <c r="I30" s="1"/>
      <c r="T30" s="28">
        <v>28</v>
      </c>
      <c r="U30" s="42">
        <v>0.78757578075432344</v>
      </c>
      <c r="V30" s="32">
        <f t="shared" si="3"/>
        <v>0.21242421924567656</v>
      </c>
      <c r="W30" s="31"/>
      <c r="X30" s="32"/>
      <c r="Y30" s="47"/>
      <c r="Z30" s="48"/>
      <c r="AA30" s="48"/>
      <c r="AB30" s="48"/>
      <c r="AC30" s="48"/>
      <c r="AD30" s="49"/>
    </row>
    <row r="31" spans="9:30">
      <c r="I31" s="1"/>
      <c r="T31" s="28">
        <v>29</v>
      </c>
      <c r="U31" s="42">
        <v>9.1831046597042887E-2</v>
      </c>
      <c r="V31" s="32">
        <f t="shared" si="3"/>
        <v>0.90816895340295711</v>
      </c>
      <c r="W31" s="31"/>
      <c r="X31" s="32"/>
      <c r="Y31" s="47"/>
      <c r="Z31" s="48"/>
      <c r="AA31" s="48"/>
      <c r="AB31" s="48"/>
      <c r="AC31" s="48"/>
      <c r="AD31" s="49"/>
    </row>
    <row r="32" spans="9:30">
      <c r="I32" s="1"/>
      <c r="T32" s="28">
        <v>30</v>
      </c>
      <c r="U32" s="42">
        <v>0.28876632116552048</v>
      </c>
      <c r="V32" s="32">
        <f t="shared" si="3"/>
        <v>0.71123367883447952</v>
      </c>
      <c r="W32" s="31"/>
      <c r="X32" s="32"/>
      <c r="Y32" s="47"/>
      <c r="Z32" s="48"/>
      <c r="AA32" s="48"/>
      <c r="AB32" s="48"/>
      <c r="AC32" s="48"/>
      <c r="AD32" s="49"/>
    </row>
    <row r="33" spans="9:30">
      <c r="I33" s="1"/>
      <c r="T33" s="28">
        <v>31</v>
      </c>
      <c r="U33" s="42">
        <v>0.34271496435184978</v>
      </c>
      <c r="V33" s="32">
        <f t="shared" si="3"/>
        <v>0.65728503564815022</v>
      </c>
      <c r="W33" s="31"/>
      <c r="X33" s="32"/>
      <c r="Y33" s="47"/>
      <c r="Z33" s="48"/>
      <c r="AA33" s="48"/>
      <c r="AB33" s="48"/>
      <c r="AC33" s="48"/>
      <c r="AD33" s="49"/>
    </row>
    <row r="34" spans="9:30">
      <c r="I34" s="1"/>
      <c r="T34" s="28">
        <v>32</v>
      </c>
      <c r="U34" s="42">
        <v>0.15020451835812432</v>
      </c>
      <c r="V34" s="32">
        <f t="shared" si="3"/>
        <v>0.84979548164187568</v>
      </c>
      <c r="W34" s="31"/>
      <c r="X34" s="32"/>
      <c r="Y34" s="47"/>
      <c r="Z34" s="48"/>
      <c r="AA34" s="48"/>
      <c r="AB34" s="48"/>
      <c r="AC34" s="48"/>
      <c r="AD34" s="49"/>
    </row>
    <row r="35" spans="9:30">
      <c r="I35" s="1"/>
      <c r="T35" s="28">
        <v>33</v>
      </c>
      <c r="U35" s="42">
        <v>0.97747099973312435</v>
      </c>
      <c r="V35" s="32">
        <f t="shared" si="3"/>
        <v>2.2529000266875654E-2</v>
      </c>
      <c r="W35" s="31"/>
      <c r="X35" s="32"/>
      <c r="Y35" s="47"/>
      <c r="Z35" s="48"/>
      <c r="AA35" s="48"/>
      <c r="AB35" s="48"/>
      <c r="AC35" s="48"/>
      <c r="AD35" s="49"/>
    </row>
    <row r="36" spans="9:30">
      <c r="I36" s="1"/>
      <c r="T36" s="28">
        <v>34</v>
      </c>
      <c r="U36" s="42">
        <v>0.15594533493650931</v>
      </c>
      <c r="V36" s="32">
        <f t="shared" si="3"/>
        <v>0.84405466506349069</v>
      </c>
      <c r="W36" s="31"/>
      <c r="X36" s="32"/>
      <c r="Y36" s="47"/>
      <c r="Z36" s="48"/>
      <c r="AA36" s="48"/>
      <c r="AB36" s="48"/>
      <c r="AC36" s="48"/>
      <c r="AD36" s="49"/>
    </row>
    <row r="37" spans="9:30">
      <c r="I37" s="1"/>
      <c r="T37" s="28">
        <v>35</v>
      </c>
      <c r="U37" s="42">
        <v>0.50389497439713204</v>
      </c>
      <c r="V37" s="32">
        <f t="shared" si="3"/>
        <v>0.49610502560286796</v>
      </c>
      <c r="W37" s="31"/>
      <c r="X37" s="32"/>
      <c r="Y37" s="47"/>
      <c r="Z37" s="48"/>
      <c r="AA37" s="48"/>
      <c r="AB37" s="48"/>
      <c r="AC37" s="48"/>
      <c r="AD37" s="49"/>
    </row>
    <row r="38" spans="9:30">
      <c r="I38" s="1"/>
      <c r="T38" s="28">
        <v>36</v>
      </c>
      <c r="U38" s="42">
        <v>0.7443964670118336</v>
      </c>
      <c r="V38" s="32">
        <f t="shared" si="3"/>
        <v>0.2556035329881664</v>
      </c>
      <c r="W38" s="31"/>
      <c r="X38" s="32"/>
      <c r="Y38" s="47"/>
      <c r="Z38" s="48"/>
      <c r="AA38" s="48"/>
      <c r="AB38" s="48"/>
      <c r="AC38" s="48"/>
      <c r="AD38" s="49"/>
    </row>
    <row r="39" spans="9:30">
      <c r="I39" s="1"/>
      <c r="T39" s="28">
        <v>37</v>
      </c>
      <c r="U39" s="42">
        <v>0.87472022860893861</v>
      </c>
      <c r="V39" s="32">
        <f t="shared" si="3"/>
        <v>0.12527977139106139</v>
      </c>
      <c r="W39" s="31"/>
      <c r="X39" s="32"/>
      <c r="Y39" s="47"/>
      <c r="Z39" s="48"/>
      <c r="AA39" s="48"/>
      <c r="AB39" s="48"/>
      <c r="AC39" s="48"/>
      <c r="AD39" s="49"/>
    </row>
    <row r="40" spans="9:30">
      <c r="I40" s="1"/>
      <c r="T40" s="28">
        <v>38</v>
      </c>
      <c r="U40" s="42">
        <v>0.91048023701362479</v>
      </c>
      <c r="V40" s="32">
        <f t="shared" si="3"/>
        <v>8.9519762986375206E-2</v>
      </c>
      <c r="W40" s="31"/>
      <c r="X40" s="32"/>
      <c r="Y40" s="47"/>
      <c r="Z40" s="48"/>
      <c r="AA40" s="48"/>
      <c r="AB40" s="48"/>
      <c r="AC40" s="48"/>
      <c r="AD40" s="49"/>
    </row>
    <row r="41" spans="9:30">
      <c r="I41" s="1"/>
      <c r="T41" s="28">
        <v>39</v>
      </c>
      <c r="U41" s="42">
        <v>0.79048384304698949</v>
      </c>
      <c r="V41" s="32">
        <f t="shared" si="3"/>
        <v>0.20951615695301051</v>
      </c>
      <c r="W41" s="31"/>
      <c r="X41" s="32"/>
      <c r="Y41" s="47"/>
      <c r="Z41" s="48"/>
      <c r="AA41" s="48"/>
      <c r="AB41" s="48"/>
      <c r="AC41" s="48"/>
      <c r="AD41" s="49"/>
    </row>
    <row r="42" spans="9:30">
      <c r="I42" s="1"/>
      <c r="T42" s="28">
        <v>40</v>
      </c>
      <c r="U42" s="42">
        <v>0.52914703909506322</v>
      </c>
      <c r="V42" s="32">
        <f t="shared" si="3"/>
        <v>0.47085296090493678</v>
      </c>
      <c r="W42" s="31"/>
      <c r="X42" s="32"/>
      <c r="Y42" s="47"/>
      <c r="Z42" s="48"/>
      <c r="AA42" s="48"/>
      <c r="AB42" s="48"/>
      <c r="AC42" s="48"/>
      <c r="AD42" s="49"/>
    </row>
    <row r="43" spans="9:30">
      <c r="I43" s="1"/>
      <c r="T43" s="28">
        <v>41</v>
      </c>
      <c r="U43" s="42">
        <v>6.1760439990493632E-3</v>
      </c>
      <c r="V43" s="32">
        <f t="shared" si="3"/>
        <v>0.99382395600095064</v>
      </c>
      <c r="W43" s="31"/>
      <c r="X43" s="32"/>
      <c r="Y43" s="47"/>
      <c r="Z43" s="48"/>
      <c r="AA43" s="48"/>
      <c r="AB43" s="48"/>
      <c r="AC43" s="48"/>
      <c r="AD43" s="49"/>
    </row>
    <row r="44" spans="9:30">
      <c r="I44" s="1"/>
      <c r="T44" s="28">
        <v>42</v>
      </c>
      <c r="U44" s="42">
        <v>0.64870119959874672</v>
      </c>
      <c r="V44" s="32">
        <f t="shared" si="3"/>
        <v>0.35129880040125328</v>
      </c>
      <c r="W44" s="31"/>
      <c r="X44" s="32"/>
      <c r="Y44" s="47"/>
      <c r="Z44" s="48"/>
      <c r="AA44" s="48"/>
      <c r="AB44" s="48"/>
      <c r="AC44" s="48"/>
      <c r="AD44" s="49"/>
    </row>
    <row r="45" spans="9:30">
      <c r="I45" s="1"/>
      <c r="T45" s="28">
        <v>43</v>
      </c>
      <c r="U45" s="42">
        <v>0.60542395911333247</v>
      </c>
      <c r="V45" s="32">
        <f t="shared" si="3"/>
        <v>0.39457604088666753</v>
      </c>
      <c r="W45" s="31"/>
      <c r="X45" s="32"/>
      <c r="Y45" s="47"/>
      <c r="Z45" s="48"/>
      <c r="AA45" s="48"/>
      <c r="AB45" s="48"/>
      <c r="AC45" s="48"/>
      <c r="AD45" s="49"/>
    </row>
    <row r="46" spans="9:30">
      <c r="I46" s="1"/>
      <c r="T46" s="28">
        <v>44</v>
      </c>
      <c r="U46" s="42">
        <v>2.0934633490884647E-2</v>
      </c>
      <c r="V46" s="32">
        <f t="shared" si="3"/>
        <v>0.97906536650911535</v>
      </c>
      <c r="W46" s="31"/>
      <c r="X46" s="32"/>
      <c r="Y46" s="47"/>
      <c r="Z46" s="48"/>
      <c r="AA46" s="48"/>
      <c r="AB46" s="48"/>
      <c r="AC46" s="48"/>
      <c r="AD46" s="49"/>
    </row>
    <row r="47" spans="9:30">
      <c r="I47" s="1"/>
      <c r="T47" s="28">
        <v>45</v>
      </c>
      <c r="U47" s="42">
        <v>0.36630139854997856</v>
      </c>
      <c r="V47" s="32">
        <f t="shared" si="3"/>
        <v>0.63369860145002144</v>
      </c>
      <c r="W47" s="31"/>
      <c r="X47" s="32"/>
      <c r="Y47" s="47"/>
      <c r="Z47" s="48"/>
      <c r="AA47" s="48"/>
      <c r="AB47" s="48"/>
      <c r="AC47" s="48"/>
      <c r="AD47" s="49"/>
    </row>
    <row r="48" spans="9:30">
      <c r="I48" s="1"/>
      <c r="T48" s="28">
        <v>46</v>
      </c>
      <c r="U48" s="42">
        <v>0.3865041512712698</v>
      </c>
      <c r="V48" s="32">
        <f t="shared" si="3"/>
        <v>0.6134958487287302</v>
      </c>
      <c r="W48" s="31"/>
      <c r="X48" s="32"/>
      <c r="Y48" s="47"/>
      <c r="Z48" s="48"/>
      <c r="AA48" s="48"/>
      <c r="AB48" s="48"/>
      <c r="AC48" s="48"/>
      <c r="AD48" s="49"/>
    </row>
    <row r="49" spans="9:30">
      <c r="I49" s="1"/>
      <c r="T49" s="28">
        <v>47</v>
      </c>
      <c r="U49" s="42">
        <v>0.75084205269163751</v>
      </c>
      <c r="V49" s="32">
        <f t="shared" si="3"/>
        <v>0.24915794730836249</v>
      </c>
      <c r="W49" s="31"/>
      <c r="X49" s="32"/>
      <c r="Y49" s="47"/>
      <c r="Z49" s="48"/>
      <c r="AA49" s="48"/>
      <c r="AB49" s="48"/>
      <c r="AC49" s="48"/>
      <c r="AD49" s="49"/>
    </row>
    <row r="50" spans="9:30">
      <c r="I50" s="1"/>
      <c r="T50" s="28">
        <v>48</v>
      </c>
      <c r="U50" s="42">
        <v>0.70920724865696749</v>
      </c>
      <c r="V50" s="32">
        <f t="shared" si="3"/>
        <v>0.29079275134303251</v>
      </c>
      <c r="W50" s="31"/>
      <c r="X50" s="32"/>
      <c r="Y50" s="47"/>
      <c r="Z50" s="48"/>
      <c r="AA50" s="48"/>
      <c r="AB50" s="48"/>
      <c r="AC50" s="48"/>
      <c r="AD50" s="49"/>
    </row>
    <row r="51" spans="9:30">
      <c r="I51" s="1"/>
      <c r="T51" s="28">
        <v>49</v>
      </c>
      <c r="U51" s="42">
        <v>0.85507458994972685</v>
      </c>
      <c r="V51" s="32">
        <f t="shared" si="3"/>
        <v>0.14492541005027315</v>
      </c>
      <c r="W51" s="31"/>
      <c r="X51" s="32"/>
      <c r="Y51" s="47"/>
      <c r="Z51" s="48"/>
      <c r="AA51" s="48"/>
      <c r="AB51" s="48"/>
      <c r="AC51" s="48"/>
      <c r="AD51" s="49"/>
    </row>
    <row r="52" spans="9:30" ht="15.75" thickBot="1">
      <c r="I52" s="1"/>
      <c r="T52" s="29">
        <v>50</v>
      </c>
      <c r="U52" s="43">
        <v>0.80557347087209208</v>
      </c>
      <c r="V52" s="34">
        <f t="shared" si="3"/>
        <v>0.19442652912790792</v>
      </c>
      <c r="W52" s="33"/>
      <c r="X52" s="34"/>
      <c r="Y52" s="50"/>
      <c r="Z52" s="51"/>
      <c r="AA52" s="51"/>
      <c r="AB52" s="51"/>
      <c r="AC52" s="51"/>
      <c r="AD52" s="52"/>
    </row>
    <row r="53" spans="9:30">
      <c r="I53" s="1"/>
    </row>
    <row r="54" spans="9:30">
      <c r="I54" s="1"/>
      <c r="X54" t="s">
        <v>23</v>
      </c>
      <c r="Y54" s="2">
        <f>MIN(Y3:Y52)</f>
        <v>0</v>
      </c>
      <c r="Z54" s="2">
        <f t="shared" ref="Z54:AD54" si="6">MIN(Z3:Z52)</f>
        <v>0</v>
      </c>
      <c r="AA54" s="2">
        <f t="shared" si="6"/>
        <v>0</v>
      </c>
      <c r="AB54" s="2">
        <f t="shared" si="6"/>
        <v>0</v>
      </c>
      <c r="AC54" s="2">
        <f t="shared" si="6"/>
        <v>0</v>
      </c>
      <c r="AD54" s="2">
        <f t="shared" si="6"/>
        <v>0</v>
      </c>
    </row>
    <row r="55" spans="9:30">
      <c r="I55" s="1"/>
      <c r="X55" t="s">
        <v>24</v>
      </c>
      <c r="Y55" s="2">
        <f>MAX(Y3:Y52)</f>
        <v>0</v>
      </c>
      <c r="Z55" s="2">
        <f t="shared" ref="Z55:AD55" si="7">MAX(Z3:Z52)</f>
        <v>0</v>
      </c>
      <c r="AA55" s="2">
        <f t="shared" si="7"/>
        <v>0</v>
      </c>
      <c r="AB55" s="2">
        <f t="shared" si="7"/>
        <v>0</v>
      </c>
      <c r="AC55" s="2">
        <f t="shared" si="7"/>
        <v>0</v>
      </c>
      <c r="AD55" s="2">
        <f t="shared" si="7"/>
        <v>0</v>
      </c>
    </row>
    <row r="56" spans="9:30">
      <c r="I56" s="1"/>
    </row>
    <row r="57" spans="9:30">
      <c r="I57" s="1"/>
    </row>
    <row r="58" spans="9:30">
      <c r="I58" s="1"/>
    </row>
    <row r="59" spans="9:30">
      <c r="I59" s="1"/>
    </row>
  </sheetData>
  <mergeCells count="4">
    <mergeCell ref="F2:J2"/>
    <mergeCell ref="U1:V1"/>
    <mergeCell ref="W1:X1"/>
    <mergeCell ref="Y1:A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peatedSolve">
                <anchor moveWithCells="1" sizeWithCells="1">
                  <from>
                    <xdr:col>13</xdr:col>
                    <xdr:colOff>504825</xdr:colOff>
                    <xdr:row>2</xdr:row>
                    <xdr:rowOff>85725</xdr:rowOff>
                  </from>
                  <to>
                    <xdr:col>17</xdr:col>
                    <xdr:colOff>104775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Markowitz Weighted sum</vt:lpstr>
    </vt:vector>
  </TitlesOfParts>
  <Company>Aalto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Liesiö Juuso</dc:creator>
  <cp:lastModifiedBy>Liesiö Juuso</cp:lastModifiedBy>
  <dcterms:created xsi:type="dcterms:W3CDTF">2016-01-25T11:49:05Z</dcterms:created>
  <dcterms:modified xsi:type="dcterms:W3CDTF">2020-11-24T14:38:41Z</dcterms:modified>
</cp:coreProperties>
</file>